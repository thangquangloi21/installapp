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\KHSX\"/>
    </mc:Choice>
  </mc:AlternateContent>
  <xr:revisionPtr revIDLastSave="0" documentId="13_ncr:1_{01AD67EB-3119-42D1-A216-B2F52320E3F8}" xr6:coauthVersionLast="47" xr6:coauthVersionMax="47" xr10:uidLastSave="{00000000-0000-0000-0000-000000000000}"/>
  <bookViews>
    <workbookView xWindow="-120" yWindow="-120" windowWidth="29040" windowHeight="15720" xr2:uid="{6438C77A-B1A4-44E6-9E47-35FFB1BEF705}"/>
  </bookViews>
  <sheets>
    <sheet name="Sheet1" sheetId="1" r:id="rId1"/>
  </sheets>
  <definedNames>
    <definedName name="_xlnm._FilterDatabase" localSheetId="0" hidden="1">Sheet1!$A$1:$E$38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" i="1" l="1"/>
  <c r="H27" i="1" s="1"/>
  <c r="G26" i="1"/>
  <c r="H26" i="1" s="1"/>
  <c r="G23" i="1"/>
  <c r="H23" i="1" s="1"/>
  <c r="G20" i="1"/>
  <c r="H20" i="1" s="1"/>
  <c r="G19" i="1"/>
  <c r="H19" i="1" s="1"/>
  <c r="G18" i="1"/>
  <c r="H18" i="1" s="1"/>
  <c r="G17" i="1"/>
  <c r="H17" i="1" s="1"/>
  <c r="G16" i="1"/>
  <c r="H16" i="1" s="1"/>
  <c r="G15" i="1"/>
  <c r="H15" i="1" s="1"/>
  <c r="G6" i="1"/>
  <c r="H6" i="1" s="1"/>
  <c r="G5" i="1"/>
  <c r="H5" i="1" s="1"/>
  <c r="G4" i="1"/>
  <c r="H4" i="1" s="1"/>
  <c r="L5" i="1"/>
  <c r="L4" i="1"/>
</calcChain>
</file>

<file path=xl/sharedStrings.xml><?xml version="1.0" encoding="utf-8"?>
<sst xmlns="http://schemas.openxmlformats.org/spreadsheetml/2006/main" count="87" uniqueCount="50">
  <si>
    <t>LOT</t>
  </si>
  <si>
    <t>Y0</t>
  </si>
  <si>
    <t>slgepme</t>
  </si>
  <si>
    <t>ngayhethan</t>
  </si>
  <si>
    <t>slpalet</t>
  </si>
  <si>
    <t>LOT25</t>
  </si>
  <si>
    <t>D</t>
  </si>
  <si>
    <t>LOT24</t>
  </si>
  <si>
    <t>LOTS11</t>
  </si>
  <si>
    <t>LOTS8</t>
  </si>
  <si>
    <t>LOTS6</t>
  </si>
  <si>
    <t>LOT23</t>
  </si>
  <si>
    <t>LOT22</t>
  </si>
  <si>
    <t>LOT21</t>
  </si>
  <si>
    <t>LOT20</t>
  </si>
  <si>
    <t>LOT19</t>
  </si>
  <si>
    <t>LOT18</t>
  </si>
  <si>
    <t>LOT16</t>
  </si>
  <si>
    <t>LOT17</t>
  </si>
  <si>
    <t>LOTS10</t>
  </si>
  <si>
    <t>N</t>
  </si>
  <si>
    <t>LOTS4</t>
  </si>
  <si>
    <t>LOTS3</t>
  </si>
  <si>
    <t>LOTS12</t>
  </si>
  <si>
    <t>LOTS9</t>
  </si>
  <si>
    <t>LOTS7</t>
  </si>
  <si>
    <t>LOT12</t>
  </si>
  <si>
    <t>LOT11</t>
  </si>
  <si>
    <t>LOTS2</t>
  </si>
  <si>
    <t>LOT10</t>
  </si>
  <si>
    <t>LOT9</t>
  </si>
  <si>
    <t>LOTS1</t>
  </si>
  <si>
    <t>LOTS5</t>
  </si>
  <si>
    <t>LOT15</t>
  </si>
  <si>
    <t>LOT8</t>
  </si>
  <si>
    <t>LOT6</t>
  </si>
  <si>
    <t>LOT7</t>
  </si>
  <si>
    <t>LOT14</t>
  </si>
  <si>
    <t>LOT5</t>
  </si>
  <si>
    <t>LOT4</t>
  </si>
  <si>
    <t>LOT13</t>
  </si>
  <si>
    <t>LOT3</t>
  </si>
  <si>
    <t>LOT2</t>
  </si>
  <si>
    <t>LOT1</t>
  </si>
  <si>
    <t>Sắp xếp theo lớn đến nhỏ</t>
  </si>
  <si>
    <t>Loại</t>
  </si>
  <si>
    <t>Maxpalet</t>
  </si>
  <si>
    <t>Số mẫu 1 palet</t>
  </si>
  <si>
    <t>mỗi lot 1 mẫu 1 pallet mẫu chiếm loại dài 0,19 ngắn 0,12</t>
  </si>
  <si>
    <t>Tính số lượng để gép cặp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</si>
</sst>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charset val="163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F1A5A-F6A9-4962-8E87-D32773C0D9EE}">
  <sheetPr filterMode="1"/>
  <dimension ref="A1:L44"/>
  <sheetViews>
    <sheetView tabSelected="1" workbookViewId="0">
      <selection activeCell="D45" sqref="D45"/>
    </sheetView>
  </sheetViews>
  <sheetFormatPr defaultRowHeight="15" x14ac:dyDescent="0.25"/>
  <cols>
    <col min="3" max="3" width="8.5703125" bestFit="1" customWidth="1"/>
    <col min="4" max="4" width="51.5703125" bestFit="1" customWidth="1"/>
    <col min="5" max="6" width="14.28515625" customWidth="1"/>
    <col min="8" max="9" width="7.85546875" customWidth="1"/>
    <col min="12" max="12" width="14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/>
      <c r="J1" s="4" t="s">
        <v>45</v>
      </c>
      <c r="K1" s="4" t="s">
        <v>46</v>
      </c>
      <c r="L1" s="4" t="s">
        <v>47</v>
      </c>
    </row>
    <row r="2" spans="1:12" hidden="1" x14ac:dyDescent="0.25">
      <c r="A2" t="s">
        <v>5</v>
      </c>
      <c r="B2" t="s">
        <v>6</v>
      </c>
      <c r="C2">
        <v>13800</v>
      </c>
      <c r="D2" s="2">
        <v>46044</v>
      </c>
      <c r="E2">
        <v>6.81</v>
      </c>
    </row>
    <row r="3" spans="1:12" hidden="1" x14ac:dyDescent="0.25">
      <c r="A3" t="s">
        <v>7</v>
      </c>
      <c r="B3" t="s">
        <v>6</v>
      </c>
      <c r="C3">
        <v>13800</v>
      </c>
      <c r="D3" s="2">
        <v>46039</v>
      </c>
      <c r="E3">
        <v>6.81</v>
      </c>
    </row>
    <row r="4" spans="1:12" x14ac:dyDescent="0.25">
      <c r="A4" t="s">
        <v>32</v>
      </c>
      <c r="B4" t="s">
        <v>20</v>
      </c>
      <c r="C4">
        <v>12350</v>
      </c>
      <c r="D4" s="2">
        <v>45971</v>
      </c>
      <c r="E4">
        <v>3.09</v>
      </c>
      <c r="G4">
        <f>_xlfn.CEILING.MATH(E4,1)</f>
        <v>4</v>
      </c>
      <c r="H4">
        <f>G4-E4-(L5*2)</f>
        <v>0.66999999999999993</v>
      </c>
      <c r="J4" s="4" t="s">
        <v>6</v>
      </c>
      <c r="K4" s="4">
        <v>6.81</v>
      </c>
      <c r="L4" s="4">
        <f>7-K4</f>
        <v>0.19000000000000039</v>
      </c>
    </row>
    <row r="5" spans="1:12" ht="15.75" customHeight="1" x14ac:dyDescent="0.25">
      <c r="A5" t="s">
        <v>10</v>
      </c>
      <c r="B5" t="s">
        <v>6</v>
      </c>
      <c r="C5">
        <v>5979</v>
      </c>
      <c r="D5" s="2">
        <v>45971</v>
      </c>
      <c r="E5">
        <v>2.95</v>
      </c>
      <c r="G5">
        <f t="shared" ref="G5:G6" si="0">_xlfn.CEILING.MATH(E5,1)</f>
        <v>3</v>
      </c>
      <c r="H5">
        <f>G5-E5</f>
        <v>4.9999999999999822E-2</v>
      </c>
      <c r="J5" s="4" t="s">
        <v>20</v>
      </c>
      <c r="K5" s="4">
        <v>6.88</v>
      </c>
      <c r="L5" s="4">
        <f>7-K5</f>
        <v>0.12000000000000011</v>
      </c>
    </row>
    <row r="6" spans="1:12" x14ac:dyDescent="0.25">
      <c r="A6" t="s">
        <v>25</v>
      </c>
      <c r="B6" t="s">
        <v>20</v>
      </c>
      <c r="C6">
        <v>1525</v>
      </c>
      <c r="D6" s="2">
        <v>45999</v>
      </c>
      <c r="E6">
        <v>0.38</v>
      </c>
      <c r="G6">
        <f t="shared" si="0"/>
        <v>1</v>
      </c>
      <c r="H6">
        <f>G6-E6</f>
        <v>0.62</v>
      </c>
    </row>
    <row r="7" spans="1:12" hidden="1" x14ac:dyDescent="0.25">
      <c r="A7" t="s">
        <v>11</v>
      </c>
      <c r="B7" t="s">
        <v>6</v>
      </c>
      <c r="C7">
        <v>13800</v>
      </c>
      <c r="D7" s="2">
        <v>46010</v>
      </c>
      <c r="E7">
        <v>6.81</v>
      </c>
    </row>
    <row r="8" spans="1:12" hidden="1" x14ac:dyDescent="0.25">
      <c r="A8" t="s">
        <v>12</v>
      </c>
      <c r="B8" t="s">
        <v>6</v>
      </c>
      <c r="C8">
        <v>13800</v>
      </c>
      <c r="D8" s="2">
        <v>46006</v>
      </c>
      <c r="E8">
        <v>6.81</v>
      </c>
    </row>
    <row r="9" spans="1:12" hidden="1" x14ac:dyDescent="0.25">
      <c r="A9" t="s">
        <v>13</v>
      </c>
      <c r="B9" t="s">
        <v>6</v>
      </c>
      <c r="C9">
        <v>13800</v>
      </c>
      <c r="D9" s="2">
        <v>46005</v>
      </c>
      <c r="E9">
        <v>6.81</v>
      </c>
    </row>
    <row r="10" spans="1:12" hidden="1" x14ac:dyDescent="0.25">
      <c r="A10" t="s">
        <v>14</v>
      </c>
      <c r="B10" t="s">
        <v>6</v>
      </c>
      <c r="C10">
        <v>13800</v>
      </c>
      <c r="D10" s="2">
        <v>45999</v>
      </c>
      <c r="E10">
        <v>6.81</v>
      </c>
    </row>
    <row r="11" spans="1:12" hidden="1" x14ac:dyDescent="0.25">
      <c r="A11" t="s">
        <v>15</v>
      </c>
      <c r="B11" t="s">
        <v>6</v>
      </c>
      <c r="C11">
        <v>13800</v>
      </c>
      <c r="D11" s="2">
        <v>45998</v>
      </c>
      <c r="E11">
        <v>6.81</v>
      </c>
    </row>
    <row r="12" spans="1:12" hidden="1" x14ac:dyDescent="0.25">
      <c r="A12" t="s">
        <v>16</v>
      </c>
      <c r="B12" t="s">
        <v>6</v>
      </c>
      <c r="C12">
        <v>13800</v>
      </c>
      <c r="D12" s="2">
        <v>45995</v>
      </c>
      <c r="E12">
        <v>6.81</v>
      </c>
    </row>
    <row r="13" spans="1:12" hidden="1" x14ac:dyDescent="0.25">
      <c r="A13" t="s">
        <v>17</v>
      </c>
      <c r="B13" t="s">
        <v>6</v>
      </c>
      <c r="C13">
        <v>13800</v>
      </c>
      <c r="D13" s="2">
        <v>45991</v>
      </c>
      <c r="E13">
        <v>6.81</v>
      </c>
    </row>
    <row r="14" spans="1:12" hidden="1" x14ac:dyDescent="0.25">
      <c r="A14" t="s">
        <v>18</v>
      </c>
      <c r="B14" t="s">
        <v>6</v>
      </c>
      <c r="C14">
        <v>13800</v>
      </c>
      <c r="D14" s="2">
        <v>45991</v>
      </c>
      <c r="E14">
        <v>6.81</v>
      </c>
    </row>
    <row r="15" spans="1:12" x14ac:dyDescent="0.25">
      <c r="A15" t="s">
        <v>9</v>
      </c>
      <c r="B15" t="s">
        <v>6</v>
      </c>
      <c r="C15">
        <v>525</v>
      </c>
      <c r="D15" s="2">
        <v>46003</v>
      </c>
      <c r="E15">
        <v>0.26</v>
      </c>
      <c r="G15">
        <f t="shared" ref="G15:G20" si="1">_xlfn.CEILING.MATH(E15,1)</f>
        <v>1</v>
      </c>
      <c r="H15">
        <f t="shared" ref="H15:H20" si="2">G15-E15</f>
        <v>0.74</v>
      </c>
    </row>
    <row r="16" spans="1:12" x14ac:dyDescent="0.25">
      <c r="A16" t="s">
        <v>31</v>
      </c>
      <c r="B16" t="s">
        <v>20</v>
      </c>
      <c r="C16">
        <v>8000</v>
      </c>
      <c r="D16" s="2">
        <v>46006</v>
      </c>
      <c r="E16">
        <v>2</v>
      </c>
      <c r="G16">
        <f t="shared" si="1"/>
        <v>2</v>
      </c>
      <c r="H16">
        <f t="shared" si="2"/>
        <v>0</v>
      </c>
    </row>
    <row r="17" spans="1:8" x14ac:dyDescent="0.25">
      <c r="A17" t="s">
        <v>24</v>
      </c>
      <c r="B17" t="s">
        <v>20</v>
      </c>
      <c r="C17">
        <v>525</v>
      </c>
      <c r="D17" s="2">
        <v>46006</v>
      </c>
      <c r="E17">
        <v>0.13</v>
      </c>
      <c r="G17">
        <f t="shared" si="1"/>
        <v>1</v>
      </c>
      <c r="H17">
        <f t="shared" si="2"/>
        <v>0.87</v>
      </c>
    </row>
    <row r="18" spans="1:8" x14ac:dyDescent="0.25">
      <c r="A18" t="s">
        <v>28</v>
      </c>
      <c r="B18" t="s">
        <v>20</v>
      </c>
      <c r="C18">
        <v>25000</v>
      </c>
      <c r="D18" s="2">
        <v>46010</v>
      </c>
      <c r="E18">
        <v>6.25</v>
      </c>
      <c r="G18">
        <f t="shared" si="1"/>
        <v>7</v>
      </c>
      <c r="H18">
        <f t="shared" si="2"/>
        <v>0.75</v>
      </c>
    </row>
    <row r="19" spans="1:8" x14ac:dyDescent="0.25">
      <c r="A19" t="s">
        <v>22</v>
      </c>
      <c r="B19" t="s">
        <v>20</v>
      </c>
      <c r="C19">
        <v>10000</v>
      </c>
      <c r="D19" s="2">
        <v>46013</v>
      </c>
      <c r="E19">
        <v>2.5</v>
      </c>
      <c r="G19">
        <f t="shared" si="1"/>
        <v>3</v>
      </c>
      <c r="H19">
        <f t="shared" si="2"/>
        <v>0.5</v>
      </c>
    </row>
    <row r="20" spans="1:8" x14ac:dyDescent="0.25">
      <c r="A20" t="s">
        <v>23</v>
      </c>
      <c r="B20" t="s">
        <v>20</v>
      </c>
      <c r="C20">
        <v>5000</v>
      </c>
      <c r="D20" s="2">
        <v>46013</v>
      </c>
      <c r="E20">
        <v>1.25</v>
      </c>
      <c r="G20">
        <f t="shared" si="1"/>
        <v>2</v>
      </c>
      <c r="H20">
        <f t="shared" si="2"/>
        <v>0.75</v>
      </c>
    </row>
    <row r="21" spans="1:8" hidden="1" x14ac:dyDescent="0.25">
      <c r="A21" t="s">
        <v>26</v>
      </c>
      <c r="B21" t="s">
        <v>20</v>
      </c>
      <c r="C21">
        <v>27500</v>
      </c>
      <c r="D21" s="2">
        <v>46012</v>
      </c>
      <c r="E21">
        <v>6.88</v>
      </c>
    </row>
    <row r="22" spans="1:8" hidden="1" x14ac:dyDescent="0.25">
      <c r="A22" t="s">
        <v>27</v>
      </c>
      <c r="B22" t="s">
        <v>20</v>
      </c>
      <c r="C22">
        <v>27500</v>
      </c>
      <c r="D22" s="2">
        <v>46011</v>
      </c>
      <c r="E22">
        <v>6.88</v>
      </c>
    </row>
    <row r="23" spans="1:8" x14ac:dyDescent="0.25">
      <c r="A23" t="s">
        <v>8</v>
      </c>
      <c r="B23" t="s">
        <v>6</v>
      </c>
      <c r="C23">
        <v>225</v>
      </c>
      <c r="D23" s="2">
        <v>46023</v>
      </c>
      <c r="E23">
        <v>0.11</v>
      </c>
      <c r="G23">
        <f>_xlfn.CEILING.MATH(E23,1)</f>
        <v>1</v>
      </c>
      <c r="H23">
        <f>G23-E23</f>
        <v>0.89</v>
      </c>
    </row>
    <row r="24" spans="1:8" hidden="1" x14ac:dyDescent="0.25">
      <c r="A24" t="s">
        <v>29</v>
      </c>
      <c r="B24" t="s">
        <v>20</v>
      </c>
      <c r="C24">
        <v>27500</v>
      </c>
      <c r="D24" s="2">
        <v>46009</v>
      </c>
      <c r="E24">
        <v>6.88</v>
      </c>
    </row>
    <row r="25" spans="1:8" hidden="1" x14ac:dyDescent="0.25">
      <c r="A25" t="s">
        <v>30</v>
      </c>
      <c r="B25" t="s">
        <v>20</v>
      </c>
      <c r="C25">
        <v>27500</v>
      </c>
      <c r="D25" s="2">
        <v>46006</v>
      </c>
      <c r="E25">
        <v>6.88</v>
      </c>
    </row>
    <row r="26" spans="1:8" x14ac:dyDescent="0.25">
      <c r="A26" t="s">
        <v>21</v>
      </c>
      <c r="B26" t="s">
        <v>20</v>
      </c>
      <c r="C26">
        <v>3225</v>
      </c>
      <c r="D26" s="2">
        <v>46027</v>
      </c>
      <c r="E26">
        <v>0.81</v>
      </c>
      <c r="G26">
        <f t="shared" ref="G26:G27" si="3">_xlfn.CEILING.MATH(E26,1)</f>
        <v>1</v>
      </c>
      <c r="H26">
        <f>G26-E26</f>
        <v>0.18999999999999995</v>
      </c>
    </row>
    <row r="27" spans="1:8" x14ac:dyDescent="0.25">
      <c r="A27" t="s">
        <v>19</v>
      </c>
      <c r="B27" t="s">
        <v>20</v>
      </c>
      <c r="C27">
        <v>3275</v>
      </c>
      <c r="D27" s="2">
        <v>46056</v>
      </c>
      <c r="E27">
        <v>0.82</v>
      </c>
      <c r="G27">
        <f t="shared" si="3"/>
        <v>1</v>
      </c>
      <c r="H27">
        <f>G27-E27</f>
        <v>0.18000000000000005</v>
      </c>
    </row>
    <row r="28" spans="1:8" hidden="1" x14ac:dyDescent="0.25">
      <c r="A28" t="s">
        <v>33</v>
      </c>
      <c r="B28" t="s">
        <v>20</v>
      </c>
      <c r="C28">
        <v>27500</v>
      </c>
      <c r="D28" s="2">
        <v>46005</v>
      </c>
      <c r="E28">
        <v>6.88</v>
      </c>
    </row>
    <row r="29" spans="1:8" hidden="1" x14ac:dyDescent="0.25">
      <c r="A29" t="s">
        <v>34</v>
      </c>
      <c r="B29" t="s">
        <v>20</v>
      </c>
      <c r="C29">
        <v>27500</v>
      </c>
      <c r="D29" s="2">
        <v>46003</v>
      </c>
      <c r="E29">
        <v>6.88</v>
      </c>
    </row>
    <row r="30" spans="1:8" hidden="1" x14ac:dyDescent="0.25">
      <c r="A30" t="s">
        <v>35</v>
      </c>
      <c r="B30" t="s">
        <v>20</v>
      </c>
      <c r="C30">
        <v>27500</v>
      </c>
      <c r="D30" s="2">
        <v>46002</v>
      </c>
      <c r="E30">
        <v>6.88</v>
      </c>
    </row>
    <row r="31" spans="1:8" hidden="1" x14ac:dyDescent="0.25">
      <c r="A31" t="s">
        <v>36</v>
      </c>
      <c r="B31" t="s">
        <v>20</v>
      </c>
      <c r="C31">
        <v>27500</v>
      </c>
      <c r="D31" s="2">
        <v>46002</v>
      </c>
      <c r="E31">
        <v>6.88</v>
      </c>
    </row>
    <row r="32" spans="1:8" hidden="1" x14ac:dyDescent="0.25">
      <c r="A32" t="s">
        <v>37</v>
      </c>
      <c r="B32" t="s">
        <v>20</v>
      </c>
      <c r="C32">
        <v>27500</v>
      </c>
      <c r="D32" s="2">
        <v>46002</v>
      </c>
      <c r="E32">
        <v>6.88</v>
      </c>
    </row>
    <row r="33" spans="1:5" hidden="1" x14ac:dyDescent="0.25">
      <c r="A33" t="s">
        <v>38</v>
      </c>
      <c r="B33" t="s">
        <v>20</v>
      </c>
      <c r="C33">
        <v>27500</v>
      </c>
      <c r="D33" s="2">
        <v>45998</v>
      </c>
      <c r="E33">
        <v>6.88</v>
      </c>
    </row>
    <row r="34" spans="1:5" hidden="1" x14ac:dyDescent="0.25">
      <c r="A34" t="s">
        <v>39</v>
      </c>
      <c r="B34" t="s">
        <v>20</v>
      </c>
      <c r="C34">
        <v>27500</v>
      </c>
      <c r="D34" s="2">
        <v>45997</v>
      </c>
      <c r="E34">
        <v>6.88</v>
      </c>
    </row>
    <row r="35" spans="1:5" hidden="1" x14ac:dyDescent="0.25">
      <c r="A35" t="s">
        <v>40</v>
      </c>
      <c r="B35" t="s">
        <v>20</v>
      </c>
      <c r="C35">
        <v>27500</v>
      </c>
      <c r="D35" s="2">
        <v>45996</v>
      </c>
      <c r="E35">
        <v>6.88</v>
      </c>
    </row>
    <row r="36" spans="1:5" hidden="1" x14ac:dyDescent="0.25">
      <c r="A36" t="s">
        <v>41</v>
      </c>
      <c r="B36" t="s">
        <v>20</v>
      </c>
      <c r="C36">
        <v>27500</v>
      </c>
      <c r="D36" s="2">
        <v>45996</v>
      </c>
      <c r="E36">
        <v>6.88</v>
      </c>
    </row>
    <row r="37" spans="1:5" hidden="1" x14ac:dyDescent="0.25">
      <c r="A37" t="s">
        <v>42</v>
      </c>
      <c r="B37" t="s">
        <v>20</v>
      </c>
      <c r="C37">
        <v>27500</v>
      </c>
      <c r="D37" s="2">
        <v>45995</v>
      </c>
      <c r="E37">
        <v>6.88</v>
      </c>
    </row>
    <row r="38" spans="1:5" hidden="1" x14ac:dyDescent="0.25">
      <c r="A38" t="s">
        <v>43</v>
      </c>
      <c r="B38" t="s">
        <v>20</v>
      </c>
      <c r="C38">
        <v>27500</v>
      </c>
      <c r="D38" s="2">
        <v>45992</v>
      </c>
      <c r="E38">
        <v>6.88</v>
      </c>
    </row>
    <row r="42" spans="1:5" x14ac:dyDescent="0.25">
      <c r="D42" t="s">
        <v>44</v>
      </c>
    </row>
    <row r="43" spans="1:5" x14ac:dyDescent="0.25">
      <c r="D43" t="s">
        <v>48</v>
      </c>
    </row>
    <row r="44" spans="1:5" x14ac:dyDescent="0.25">
      <c r="D44" t="s">
        <v>49</v>
      </c>
    </row>
  </sheetData>
  <autoFilter ref="A1:E38" xr:uid="{A9FF1A5A-F6A9-4962-8E87-D32773C0D9EE}">
    <filterColumn colId="4">
      <filters>
        <filter val="0,11"/>
        <filter val="0,13"/>
        <filter val="0,26"/>
        <filter val="0,38"/>
        <filter val="0,81"/>
        <filter val="0,82"/>
        <filter val="1,25"/>
        <filter val="2"/>
        <filter val="2,5"/>
        <filter val="2,95"/>
        <filter val="3,09"/>
        <filter val="6,25"/>
      </filters>
    </filterColumn>
    <sortState xmlns:xlrd2="http://schemas.microsoft.com/office/spreadsheetml/2017/richdata2" ref="A4:E27">
      <sortCondition ref="D1:D3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TQL</dc:creator>
  <cp:lastModifiedBy>TQL</cp:lastModifiedBy>
  <dcterms:created xsi:type="dcterms:W3CDTF">2025-12-04T11:32:09Z</dcterms:created>
  <dcterms:modified xsi:type="dcterms:W3CDTF">2025-12-04T15:08:33Z</dcterms:modified>
</cp:coreProperties>
</file>